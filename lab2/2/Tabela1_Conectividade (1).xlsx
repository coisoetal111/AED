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gos\Desktop\AED\lab2\2\"/>
    </mc:Choice>
  </mc:AlternateContent>
  <xr:revisionPtr revIDLastSave="0" documentId="13_ncr:1_{5F86C1F5-6140-4BD9-A9B0-69D12F09E50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abela 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8" i="1" l="1"/>
  <c r="N18" i="1"/>
  <c r="K18" i="1"/>
  <c r="G18" i="1"/>
  <c r="Q17" i="1"/>
  <c r="N17" i="1"/>
  <c r="K17" i="1"/>
  <c r="G17" i="1"/>
  <c r="Q16" i="1"/>
  <c r="N16" i="1"/>
  <c r="K16" i="1"/>
  <c r="G16" i="1"/>
  <c r="Q15" i="1"/>
  <c r="N15" i="1"/>
  <c r="K15" i="1"/>
  <c r="G15" i="1"/>
  <c r="Q14" i="1"/>
  <c r="N14" i="1"/>
  <c r="K14" i="1"/>
  <c r="G14" i="1"/>
  <c r="Q13" i="1"/>
  <c r="N13" i="1"/>
  <c r="K13" i="1"/>
  <c r="G13" i="1"/>
  <c r="Q12" i="1"/>
  <c r="N12" i="1"/>
  <c r="K12" i="1"/>
  <c r="G12" i="1"/>
  <c r="Q11" i="1"/>
  <c r="N11" i="1"/>
  <c r="K11" i="1"/>
  <c r="G11" i="1"/>
  <c r="Q10" i="1"/>
  <c r="N10" i="1"/>
  <c r="K10" i="1"/>
  <c r="G10" i="1"/>
  <c r="Q9" i="1"/>
  <c r="N9" i="1"/>
  <c r="K9" i="1"/>
  <c r="G9" i="1"/>
  <c r="Q8" i="1"/>
  <c r="N8" i="1"/>
  <c r="K8" i="1"/>
  <c r="G8" i="1"/>
  <c r="Q7" i="1"/>
  <c r="N7" i="1"/>
  <c r="K7" i="1"/>
  <c r="G7" i="1"/>
  <c r="Q6" i="1"/>
  <c r="N6" i="1"/>
  <c r="K6" i="1"/>
  <c r="G6" i="1"/>
  <c r="Q5" i="1"/>
  <c r="N5" i="1"/>
  <c r="K5" i="1"/>
  <c r="G5" i="1"/>
  <c r="Q4" i="1"/>
  <c r="N4" i="1"/>
  <c r="K4" i="1"/>
  <c r="G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4" authorId="0" shapeId="0" xr:uid="{00000000-0006-0000-0000-00000D000000}">
      <text>
        <r>
          <rPr>
            <sz val="10"/>
            <rFont val="Arial"/>
            <family val="2"/>
          </rPr>
          <t>Número de conjuntos obtidos: 2</t>
        </r>
      </text>
    </comment>
    <comment ref="H5" authorId="0" shapeId="0" xr:uid="{00000000-0006-0000-0000-00000E000000}">
      <text>
        <r>
          <rPr>
            <sz val="10"/>
            <rFont val="Arial"/>
            <family val="2"/>
          </rPr>
          <t>Número de conjuntos obtidos: 4</t>
        </r>
      </text>
    </comment>
    <comment ref="H6" authorId="0" shapeId="0" xr:uid="{00000000-0006-0000-0000-00000F000000}">
      <text>
        <r>
          <rPr>
            <sz val="10"/>
            <rFont val="Arial"/>
            <family val="2"/>
          </rPr>
          <t>Número de conjuntos obtidos: 9</t>
        </r>
      </text>
    </comment>
    <comment ref="D7" authorId="0" shapeId="0" xr:uid="{00000000-0006-0000-0000-000001000000}">
      <text>
        <r>
          <rPr>
            <sz val="10"/>
            <rFont val="Arial"/>
            <family val="2"/>
          </rPr>
          <t>O QuickFind reportou 86 ligações (em vez de 84) nesta execução — provavelmente devido à corrupção de memória ("corrupted size vs. prev_size") observada no programa. Valor da coluna baseado em QU/WQU/CWQU, que concordam entre si.</t>
        </r>
      </text>
    </comment>
    <comment ref="H7" authorId="0" shapeId="0" xr:uid="{00000000-0006-0000-0000-000010000000}">
      <text>
        <r>
          <rPr>
            <sz val="10"/>
            <rFont val="Arial"/>
            <family val="2"/>
          </rPr>
          <t>Número de conjuntos obtidos: 14</t>
        </r>
      </text>
    </comment>
    <comment ref="D8" authorId="0" shapeId="0" xr:uid="{00000000-0006-0000-0000-000002000000}">
      <text>
        <r>
          <rPr>
            <sz val="10"/>
            <rFont val="Arial"/>
            <family val="2"/>
          </rPr>
          <t>O QuickFind reportou 170 ligações (em vez de 172) nesta execução — provavelmente devido à corrupção de memória ("corrupted size vs. prev_size") observada no programa. Valor da coluna baseado em QU/WQU/CWQU, que concordam entre si.</t>
        </r>
      </text>
    </comment>
    <comment ref="H8" authorId="0" shapeId="0" xr:uid="{00000000-0006-0000-0000-000011000000}">
      <text>
        <r>
          <rPr>
            <sz val="10"/>
            <rFont val="Arial"/>
            <family val="2"/>
          </rPr>
          <t>Número de conjuntos obtidos: 30</t>
        </r>
      </text>
    </comment>
    <comment ref="D9" authorId="0" shapeId="0" xr:uid="{00000000-0006-0000-0000-000003000000}">
      <text>
        <r>
          <rPr>
            <sz val="10"/>
            <rFont val="Arial"/>
            <family val="2"/>
          </rPr>
          <t>O QuickFind reportou 417 ligações (em vez de 418) nesta execução — provavelmente devido à corrupção de memória ("corrupted size vs. prev_size") observada no programa. Valor da coluna baseado em QU/WQU/CWQU, que concordam entre si.</t>
        </r>
      </text>
    </comment>
    <comment ref="H9" authorId="0" shapeId="0" xr:uid="{00000000-0006-0000-0000-000012000000}">
      <text>
        <r>
          <rPr>
            <sz val="10"/>
            <rFont val="Arial"/>
            <family val="2"/>
          </rPr>
          <t>Número de conjuntos obtidos: 83</t>
        </r>
      </text>
    </comment>
    <comment ref="D10" authorId="0" shapeId="0" xr:uid="{00000000-0006-0000-0000-000004000000}">
      <text>
        <r>
          <rPr>
            <sz val="10"/>
            <rFont val="Arial"/>
            <family val="2"/>
          </rPr>
          <t>O QuickFind reportou 835 ligações (em vez de 841) nesta execução — provavelmente devido à corrupção de memória ("corrupted size vs. prev_size") observada no programa. Valor da coluna baseado em QU/WQU/CWQU, que concordam entre si.</t>
        </r>
      </text>
    </comment>
    <comment ref="H10" authorId="0" shapeId="0" xr:uid="{00000000-0006-0000-0000-000013000000}">
      <text>
        <r>
          <rPr>
            <sz val="10"/>
            <rFont val="Arial"/>
            <family val="2"/>
          </rPr>
          <t>Número de conjuntos obtidos: 165</t>
        </r>
      </text>
    </comment>
    <comment ref="D11" authorId="0" shapeId="0" xr:uid="{00000000-0006-0000-0000-000005000000}">
      <text>
        <r>
          <rPr>
            <sz val="10"/>
            <rFont val="Arial"/>
            <family val="2"/>
          </rPr>
          <t>O QuickFind reportou 1684 ligações (em vez de 1683) nesta execução — provavelmente devido à corrupção de memória ("corrupted size vs. prev_size") observada no programa. Valor da coluna baseado em QU/WQU/CWQU, que concordam entre si.</t>
        </r>
      </text>
    </comment>
    <comment ref="H11" authorId="0" shapeId="0" xr:uid="{00000000-0006-0000-0000-000014000000}">
      <text>
        <r>
          <rPr>
            <sz val="10"/>
            <rFont val="Arial"/>
            <family val="2"/>
          </rPr>
          <t>Número de conjuntos obtidos: 316</t>
        </r>
      </text>
    </comment>
    <comment ref="D12" authorId="0" shapeId="0" xr:uid="{00000000-0006-0000-0000-000006000000}">
      <text>
        <r>
          <rPr>
            <sz val="10"/>
            <rFont val="Arial"/>
            <family val="2"/>
          </rPr>
          <t>O QuickFind reportou 4203 ligações (em vez de 4248) nesta execução — provavelmente devido à corrupção de memória ("corrupted size vs. prev_size") observada no programa. Valor da coluna baseado em QU/WQU/CWQU, que concordam entre si.</t>
        </r>
      </text>
    </comment>
    <comment ref="H12" authorId="0" shapeId="0" xr:uid="{00000000-0006-0000-0000-000015000000}">
      <text>
        <r>
          <rPr>
            <sz val="10"/>
            <rFont val="Arial"/>
            <family val="2"/>
          </rPr>
          <t>Número de conjuntos obtidos: 797</t>
        </r>
      </text>
    </comment>
    <comment ref="D13" authorId="0" shapeId="0" xr:uid="{00000000-0006-0000-0000-000007000000}">
      <text>
        <r>
          <rPr>
            <sz val="10"/>
            <rFont val="Arial"/>
            <family val="2"/>
          </rPr>
          <t>O QuickFind reportou 8361 ligações (em vez de 8387) nesta execução — provavelmente devido à corrupção de memória ("corrupted size vs. prev_size") observada no programa. Valor da coluna baseado em QU/WQU/CWQU, que concordam entre si.</t>
        </r>
      </text>
    </comment>
    <comment ref="H13" authorId="0" shapeId="0" xr:uid="{00000000-0006-0000-0000-000016000000}">
      <text>
        <r>
          <rPr>
            <sz val="10"/>
            <rFont val="Arial"/>
            <family val="2"/>
          </rPr>
          <t>Número de conjuntos obtidos: 1639</t>
        </r>
      </text>
    </comment>
    <comment ref="D14" authorId="0" shapeId="0" xr:uid="{00000000-0006-0000-0000-000008000000}">
      <text>
        <r>
          <rPr>
            <sz val="10"/>
            <rFont val="Arial"/>
            <family val="2"/>
          </rPr>
          <t>O QuickFind reportou 16794 ligações (em vez de 16769) nesta execução — provavelmente devido à corrupção de memória ("corrupted size vs. prev_size") observada no programa. Valor da coluna baseado em QU/WQU/CWQU, que concordam entre si.</t>
        </r>
      </text>
    </comment>
    <comment ref="H14" authorId="0" shapeId="0" xr:uid="{00000000-0006-0000-0000-000017000000}">
      <text>
        <r>
          <rPr>
            <sz val="10"/>
            <rFont val="Arial"/>
            <family val="2"/>
          </rPr>
          <t>Número de conjuntos obtidos: 3206</t>
        </r>
      </text>
    </comment>
    <comment ref="D15" authorId="0" shapeId="0" xr:uid="{00000000-0006-0000-0000-000009000000}">
      <text>
        <r>
          <rPr>
            <sz val="10"/>
            <rFont val="Arial"/>
            <family val="2"/>
          </rPr>
          <t>O QuickFind reportou 41812 ligações (em vez de 41795) nesta execução — provavelmente devido à corrupção de memória ("corrupted size vs. prev_size") observada no programa. Valor da coluna baseado em QU/WQU/CWQU, que concordam entre si.</t>
        </r>
      </text>
    </comment>
    <comment ref="H15" authorId="0" shapeId="0" xr:uid="{00000000-0006-0000-0000-000018000000}">
      <text>
        <r>
          <rPr>
            <sz val="10"/>
            <rFont val="Arial"/>
            <family val="2"/>
          </rPr>
          <t>Número de conjuntos obtidos: 8188</t>
        </r>
      </text>
    </comment>
    <comment ref="D16" authorId="0" shapeId="0" xr:uid="{00000000-0006-0000-0000-00000A000000}">
      <text>
        <r>
          <rPr>
            <sz val="10"/>
            <rFont val="Arial"/>
            <family val="2"/>
          </rPr>
          <t>O QuickFind reportou 83744 ligações (em vez de 83793) nesta execução — provavelmente devido à corrupção de memória ("corrupted size vs. prev_size") observada no programa. Valor da coluna baseado em QU/WQU/CWQU, que concordam entre si.</t>
        </r>
      </text>
    </comment>
    <comment ref="H16" authorId="0" shapeId="0" xr:uid="{00000000-0006-0000-0000-000019000000}">
      <text>
        <r>
          <rPr>
            <sz val="10"/>
            <rFont val="Arial"/>
            <family val="2"/>
          </rPr>
          <t>Número de conjuntos obtidos: 16256</t>
        </r>
      </text>
    </comment>
    <comment ref="D17" authorId="0" shapeId="0" xr:uid="{00000000-0006-0000-0000-00000B000000}">
      <text>
        <r>
          <rPr>
            <sz val="10"/>
            <rFont val="Arial"/>
            <family val="2"/>
          </rPr>
          <t>O QuickFind reportou 167760 ligações (em vez de 167766) nesta execução — provavelmente devido à corrupção de memória ("corrupted size vs. prev_size") observada no programa. Valor da coluna baseado em QU/WQU/CWQU, que concordam entre si.</t>
        </r>
      </text>
    </comment>
    <comment ref="H17" authorId="0" shapeId="0" xr:uid="{00000000-0006-0000-0000-00001A000000}">
      <text>
        <r>
          <rPr>
            <sz val="10"/>
            <rFont val="Arial"/>
            <family val="2"/>
          </rPr>
          <t>Número de conjuntos obtidos: 32240</t>
        </r>
      </text>
    </comment>
    <comment ref="D18" authorId="0" shapeId="0" xr:uid="{00000000-0006-0000-0000-00000C000000}">
      <text>
        <r>
          <rPr>
            <sz val="10"/>
            <rFont val="Arial"/>
            <family val="2"/>
          </rPr>
          <t>O QuickFind reportou 419003 ligações (em vez de 419036) nesta execução — provavelmente devido à corrupção de memória ("corrupted size vs. prev_size") observada no programa. Valor da coluna baseado em QU/WQU/CWQU, que concordam entre si.</t>
        </r>
      </text>
    </comment>
    <comment ref="H18" authorId="0" shapeId="0" xr:uid="{00000000-0006-0000-0000-00001B000000}">
      <text>
        <r>
          <rPr>
            <sz val="10"/>
            <rFont val="Arial"/>
            <family val="2"/>
          </rPr>
          <t>Número de conjuntos obtidos: 80997</t>
        </r>
      </text>
    </comment>
  </commentList>
</comments>
</file>

<file path=xl/sharedStrings.xml><?xml version="1.0" encoding="utf-8"?>
<sst xmlns="http://schemas.openxmlformats.org/spreadsheetml/2006/main" count="37" uniqueCount="28">
  <si>
    <t>Tabela 1: Resultados experimentais — Problema da Conectividade</t>
  </si>
  <si>
    <t>Ficheiro</t>
  </si>
  <si>
    <t>Nós</t>
  </si>
  <si>
    <t>Pares</t>
  </si>
  <si>
    <t>Ligações</t>
  </si>
  <si>
    <t>Quick Find</t>
  </si>
  <si>
    <t>Quick Union</t>
  </si>
  <si>
    <t>WQU</t>
  </si>
  <si>
    <t>CWQU</t>
  </si>
  <si>
    <t>Find</t>
  </si>
  <si>
    <t>Union</t>
  </si>
  <si>
    <t>Total</t>
  </si>
  <si>
    <t>z10.txt</t>
  </si>
  <si>
    <t>z20.txt</t>
  </si>
  <si>
    <t>z50.txt</t>
  </si>
  <si>
    <t>z100.txt</t>
  </si>
  <si>
    <t>z200.txt</t>
  </si>
  <si>
    <t>z500.txt</t>
  </si>
  <si>
    <t>z1000.txt</t>
  </si>
  <si>
    <t>z2000.txt</t>
  </si>
  <si>
    <t>z5000.txt</t>
  </si>
  <si>
    <t>z10000.txt</t>
  </si>
  <si>
    <t>z20000.txt</t>
  </si>
  <si>
    <t>z50000.txt</t>
  </si>
  <si>
    <t>z100000.txt</t>
  </si>
  <si>
    <t>z200000.txt</t>
  </si>
  <si>
    <t>z500000.txt</t>
  </si>
  <si>
    <t xml:space="preserve">Agrupamento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</si>
</sst>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i/>
      <sz val="9"/>
      <name val="Arial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FFFFCC"/>
        <bgColor rgb="FFFFFFFF"/>
      </patternFill>
    </fill>
    <fill>
      <patternFill patternType="solid">
        <fgColor theme="0"/>
        <bgColor rgb="FFFFFF00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0" borderId="2" xfId="0" applyFont="1" applyBorder="1"/>
    <xf numFmtId="0" fontId="5" fillId="5" borderId="2" xfId="0" applyFont="1" applyFill="1" applyBorder="1"/>
    <xf numFmtId="0" fontId="0" fillId="0" borderId="2" xfId="0" applyBorder="1"/>
    <xf numFmtId="0" fontId="7" fillId="0" borderId="2" xfId="0" applyFont="1" applyBorder="1" applyAlignment="1">
      <alignment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agrupamentos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'Tabela 1'!$B$4:$B$18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500</c:v>
                </c:pt>
                <c:pt idx="6">
                  <c:v>1000</c:v>
                </c:pt>
                <c:pt idx="7">
                  <c:v>2000</c:v>
                </c:pt>
                <c:pt idx="8">
                  <c:v>5000</c:v>
                </c:pt>
                <c:pt idx="9">
                  <c:v>10000</c:v>
                </c:pt>
                <c:pt idx="10">
                  <c:v>20000</c:v>
                </c:pt>
                <c:pt idx="11">
                  <c:v>50000</c:v>
                </c:pt>
                <c:pt idx="12">
                  <c:v>100000</c:v>
                </c:pt>
                <c:pt idx="13">
                  <c:v>200000</c:v>
                </c:pt>
                <c:pt idx="14">
                  <c:v>500000</c:v>
                </c:pt>
              </c:numCache>
            </c:numRef>
          </c:xVal>
          <c:yVal>
            <c:numRef>
              <c:f>'Tabela 1'!$H$4:$H$18</c:f>
              <c:numCache>
                <c:formatCode>General</c:formatCode>
                <c:ptCount val="15"/>
                <c:pt idx="0">
                  <c:v>41</c:v>
                </c:pt>
                <c:pt idx="1">
                  <c:v>93</c:v>
                </c:pt>
                <c:pt idx="2">
                  <c:v>384</c:v>
                </c:pt>
                <c:pt idx="3">
                  <c:v>1017</c:v>
                </c:pt>
                <c:pt idx="4">
                  <c:v>4281</c:v>
                </c:pt>
                <c:pt idx="5">
                  <c:v>24527</c:v>
                </c:pt>
                <c:pt idx="6">
                  <c:v>88624</c:v>
                </c:pt>
                <c:pt idx="7">
                  <c:v>346217</c:v>
                </c:pt>
                <c:pt idx="8">
                  <c:v>2175377</c:v>
                </c:pt>
                <c:pt idx="9">
                  <c:v>8662052</c:v>
                </c:pt>
                <c:pt idx="10">
                  <c:v>33861616</c:v>
                </c:pt>
                <c:pt idx="11">
                  <c:v>217589521</c:v>
                </c:pt>
                <c:pt idx="12">
                  <c:v>868405924</c:v>
                </c:pt>
                <c:pt idx="13">
                  <c:v>3447414028</c:v>
                </c:pt>
                <c:pt idx="14">
                  <c:v>21607169741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29-4AAC-9439-DD7562D08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802879"/>
        <c:axId val="64806223"/>
      </c:scatterChart>
      <c:valAx>
        <c:axId val="31980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06223"/>
        <c:crosses val="autoZero"/>
        <c:crossBetween val="midCat"/>
      </c:valAx>
      <c:valAx>
        <c:axId val="6480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802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'Tabela 1'!$B$4:$B$18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500</c:v>
                </c:pt>
                <c:pt idx="6">
                  <c:v>1000</c:v>
                </c:pt>
                <c:pt idx="7">
                  <c:v>2000</c:v>
                </c:pt>
                <c:pt idx="8">
                  <c:v>5000</c:v>
                </c:pt>
                <c:pt idx="9">
                  <c:v>10000</c:v>
                </c:pt>
                <c:pt idx="10">
                  <c:v>20000</c:v>
                </c:pt>
                <c:pt idx="11">
                  <c:v>50000</c:v>
                </c:pt>
                <c:pt idx="12">
                  <c:v>100000</c:v>
                </c:pt>
                <c:pt idx="13">
                  <c:v>200000</c:v>
                </c:pt>
                <c:pt idx="14">
                  <c:v>500000</c:v>
                </c:pt>
              </c:numCache>
            </c:numRef>
          </c:xVal>
          <c:yVal>
            <c:numRef>
              <c:f>'Tabela 1'!$G$4:$G$18</c:f>
              <c:numCache>
                <c:formatCode>General</c:formatCode>
                <c:ptCount val="15"/>
                <c:pt idx="0">
                  <c:v>144</c:v>
                </c:pt>
                <c:pt idx="1">
                  <c:v>504</c:v>
                </c:pt>
                <c:pt idx="2">
                  <c:v>2707</c:v>
                </c:pt>
                <c:pt idx="3">
                  <c:v>10312</c:v>
                </c:pt>
                <c:pt idx="4">
                  <c:v>39782</c:v>
                </c:pt>
                <c:pt idx="5">
                  <c:v>235683</c:v>
                </c:pt>
                <c:pt idx="6">
                  <c:v>959117</c:v>
                </c:pt>
                <c:pt idx="7">
                  <c:v>3882664</c:v>
                </c:pt>
                <c:pt idx="8">
                  <c:v>23647095</c:v>
                </c:pt>
                <c:pt idx="9">
                  <c:v>95064779</c:v>
                </c:pt>
                <c:pt idx="10">
                  <c:v>379414122</c:v>
                </c:pt>
                <c:pt idx="11">
                  <c:v>2360716654</c:v>
                </c:pt>
                <c:pt idx="12">
                  <c:v>9506909564</c:v>
                </c:pt>
                <c:pt idx="13">
                  <c:v>37982642448</c:v>
                </c:pt>
                <c:pt idx="14">
                  <c:v>237044219811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0E-4A3C-986E-FE5802B18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51247"/>
        <c:axId val="64788943"/>
      </c:scatterChart>
      <c:valAx>
        <c:axId val="176651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88943"/>
        <c:crosses val="autoZero"/>
        <c:crossBetween val="midCat"/>
      </c:valAx>
      <c:valAx>
        <c:axId val="6478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51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'Tabela 1'!$B$4:$B$18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500</c:v>
                </c:pt>
                <c:pt idx="6">
                  <c:v>1000</c:v>
                </c:pt>
                <c:pt idx="7">
                  <c:v>2000</c:v>
                </c:pt>
                <c:pt idx="8">
                  <c:v>5000</c:v>
                </c:pt>
                <c:pt idx="9">
                  <c:v>10000</c:v>
                </c:pt>
                <c:pt idx="10">
                  <c:v>20000</c:v>
                </c:pt>
                <c:pt idx="11">
                  <c:v>50000</c:v>
                </c:pt>
                <c:pt idx="12">
                  <c:v>100000</c:v>
                </c:pt>
                <c:pt idx="13">
                  <c:v>200000</c:v>
                </c:pt>
                <c:pt idx="14">
                  <c:v>500000</c:v>
                </c:pt>
              </c:numCache>
            </c:numRef>
          </c:xVal>
          <c:yVal>
            <c:numRef>
              <c:f>'Tabela 1'!$K$4:$K$18</c:f>
              <c:numCache>
                <c:formatCode>General</c:formatCode>
                <c:ptCount val="15"/>
                <c:pt idx="0">
                  <c:v>70</c:v>
                </c:pt>
                <c:pt idx="1">
                  <c:v>128</c:v>
                </c:pt>
                <c:pt idx="2">
                  <c:v>379</c:v>
                </c:pt>
                <c:pt idx="3">
                  <c:v>1182</c:v>
                </c:pt>
                <c:pt idx="4">
                  <c:v>2706</c:v>
                </c:pt>
                <c:pt idx="5">
                  <c:v>16694</c:v>
                </c:pt>
                <c:pt idx="6">
                  <c:v>62173</c:v>
                </c:pt>
                <c:pt idx="7">
                  <c:v>180277</c:v>
                </c:pt>
                <c:pt idx="8">
                  <c:v>1162722</c:v>
                </c:pt>
                <c:pt idx="9">
                  <c:v>4586947</c:v>
                </c:pt>
                <c:pt idx="10">
                  <c:v>18069763</c:v>
                </c:pt>
                <c:pt idx="11">
                  <c:v>113553753</c:v>
                </c:pt>
                <c:pt idx="12">
                  <c:v>450989101</c:v>
                </c:pt>
                <c:pt idx="13">
                  <c:v>1768616220</c:v>
                </c:pt>
                <c:pt idx="14">
                  <c:v>11139213166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67-4FF9-9951-5131F9F3F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389727"/>
        <c:axId val="64795663"/>
      </c:scatterChart>
      <c:valAx>
        <c:axId val="328389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95663"/>
        <c:crosses val="autoZero"/>
        <c:crossBetween val="midCat"/>
      </c:valAx>
      <c:valAx>
        <c:axId val="6479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389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WQU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'Tabela 1'!$B$4:$B$18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500</c:v>
                </c:pt>
                <c:pt idx="6">
                  <c:v>1000</c:v>
                </c:pt>
                <c:pt idx="7">
                  <c:v>2000</c:v>
                </c:pt>
                <c:pt idx="8">
                  <c:v>5000</c:v>
                </c:pt>
                <c:pt idx="9">
                  <c:v>10000</c:v>
                </c:pt>
                <c:pt idx="10">
                  <c:v>20000</c:v>
                </c:pt>
                <c:pt idx="11">
                  <c:v>50000</c:v>
                </c:pt>
                <c:pt idx="12">
                  <c:v>100000</c:v>
                </c:pt>
                <c:pt idx="13">
                  <c:v>200000</c:v>
                </c:pt>
                <c:pt idx="14">
                  <c:v>500000</c:v>
                </c:pt>
              </c:numCache>
            </c:numRef>
          </c:xVal>
          <c:yVal>
            <c:numRef>
              <c:f>'Tabela 1'!$N$4:$N$18</c:f>
              <c:numCache>
                <c:formatCode>General</c:formatCode>
                <c:ptCount val="15"/>
                <c:pt idx="0">
                  <c:v>96</c:v>
                </c:pt>
                <c:pt idx="1">
                  <c:v>206</c:v>
                </c:pt>
                <c:pt idx="2">
                  <c:v>519</c:v>
                </c:pt>
                <c:pt idx="3">
                  <c:v>1080</c:v>
                </c:pt>
                <c:pt idx="4">
                  <c:v>2222</c:v>
                </c:pt>
                <c:pt idx="5">
                  <c:v>5704</c:v>
                </c:pt>
                <c:pt idx="6">
                  <c:v>11521</c:v>
                </c:pt>
                <c:pt idx="7">
                  <c:v>22971</c:v>
                </c:pt>
                <c:pt idx="8">
                  <c:v>58292</c:v>
                </c:pt>
                <c:pt idx="9">
                  <c:v>116231</c:v>
                </c:pt>
                <c:pt idx="10">
                  <c:v>233995</c:v>
                </c:pt>
                <c:pt idx="11">
                  <c:v>588433</c:v>
                </c:pt>
                <c:pt idx="12">
                  <c:v>1177765</c:v>
                </c:pt>
                <c:pt idx="13">
                  <c:v>2374288</c:v>
                </c:pt>
                <c:pt idx="14">
                  <c:v>5922452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16-446E-A925-8FA0E3F84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72287"/>
        <c:axId val="64776463"/>
      </c:scatterChart>
      <c:valAx>
        <c:axId val="17827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76463"/>
        <c:crosses val="autoZero"/>
        <c:crossBetween val="midCat"/>
      </c:valAx>
      <c:valAx>
        <c:axId val="6477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72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CWQU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'Tabela 1'!$B$6:$B$20</c:f>
              <c:numCache>
                <c:formatCode>General</c:formatCode>
                <c:ptCount val="15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5000</c:v>
                </c:pt>
                <c:pt idx="7">
                  <c:v>10000</c:v>
                </c:pt>
                <c:pt idx="8">
                  <c:v>20000</c:v>
                </c:pt>
                <c:pt idx="9">
                  <c:v>50000</c:v>
                </c:pt>
                <c:pt idx="10">
                  <c:v>100000</c:v>
                </c:pt>
                <c:pt idx="11">
                  <c:v>200000</c:v>
                </c:pt>
                <c:pt idx="12">
                  <c:v>500000</c:v>
                </c:pt>
              </c:numCache>
            </c:numRef>
          </c:xVal>
          <c:yVal>
            <c:numRef>
              <c:f>'Tabela 1'!$Q$6:$Q$20</c:f>
              <c:numCache>
                <c:formatCode>General</c:formatCode>
                <c:ptCount val="15"/>
                <c:pt idx="0">
                  <c:v>630</c:v>
                </c:pt>
                <c:pt idx="1">
                  <c:v>1299</c:v>
                </c:pt>
                <c:pt idx="2">
                  <c:v>2712</c:v>
                </c:pt>
                <c:pt idx="3">
                  <c:v>6901</c:v>
                </c:pt>
                <c:pt idx="4">
                  <c:v>13851</c:v>
                </c:pt>
                <c:pt idx="5">
                  <c:v>27717</c:v>
                </c:pt>
                <c:pt idx="6">
                  <c:v>69531</c:v>
                </c:pt>
                <c:pt idx="7">
                  <c:v>138001</c:v>
                </c:pt>
                <c:pt idx="8">
                  <c:v>277144</c:v>
                </c:pt>
                <c:pt idx="9">
                  <c:v>692615</c:v>
                </c:pt>
                <c:pt idx="10">
                  <c:v>1387298</c:v>
                </c:pt>
                <c:pt idx="11">
                  <c:v>2782333</c:v>
                </c:pt>
                <c:pt idx="12">
                  <c:v>6943441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4F-4E2E-B179-C9BE93DF0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304303"/>
        <c:axId val="64789903"/>
      </c:scatterChart>
      <c:valAx>
        <c:axId val="178304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89903"/>
        <c:crosses val="autoZero"/>
        <c:crossBetween val="midCat"/>
      </c:valAx>
      <c:valAx>
        <c:axId val="6478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0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777246</xdr:colOff>
      <xdr:row>54</xdr:row>
      <xdr:rowOff>95250</xdr:rowOff>
    </xdr:from>
    <xdr:to>
      <xdr:col>9</xdr:col>
      <xdr:colOff>304806</xdr:colOff>
      <xdr:row>69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016C67-3EFD-3F36-DC12-D9890D237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163830</xdr:colOff>
      <xdr:row>35</xdr:row>
      <xdr:rowOff>19050</xdr:rowOff>
    </xdr:from>
    <xdr:to>
      <xdr:col>9</xdr:col>
      <xdr:colOff>712470</xdr:colOff>
      <xdr:row>50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5AF78F-749B-D89F-A9D7-EE2DEB7183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3810</xdr:colOff>
      <xdr:row>20</xdr:row>
      <xdr:rowOff>87630</xdr:rowOff>
    </xdr:from>
    <xdr:to>
      <xdr:col>9</xdr:col>
      <xdr:colOff>796290</xdr:colOff>
      <xdr:row>35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6248CC-3167-41F1-F74B-8722E542DC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22866</xdr:colOff>
      <xdr:row>20</xdr:row>
      <xdr:rowOff>80010</xdr:rowOff>
    </xdr:from>
    <xdr:to>
      <xdr:col>15</xdr:col>
      <xdr:colOff>480066</xdr:colOff>
      <xdr:row>35</xdr:row>
      <xdr:rowOff>11430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9913B5D-D40E-7F15-DD82-94A705009D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281946</xdr:colOff>
      <xdr:row>36</xdr:row>
      <xdr:rowOff>140970</xdr:rowOff>
    </xdr:from>
    <xdr:to>
      <xdr:col>15</xdr:col>
      <xdr:colOff>739146</xdr:colOff>
      <xdr:row>51</xdr:row>
      <xdr:rowOff>140970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8E64AF9-F6D3-EE9B-544B-77353B511F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abSelected="1" zoomScaleNormal="100" workbookViewId="0">
      <pane xSplit="4" ySplit="3" topLeftCell="E50" activePane="bottomRight" state="frozen"/>
      <selection pane="topRight" activeCell="E1" sqref="E1"/>
      <selection pane="bottomLeft" activeCell="A4" sqref="A4"/>
      <selection pane="bottomRight" activeCell="J38" sqref="J38"/>
    </sheetView>
  </sheetViews>
  <sheetFormatPr defaultColWidth="8.6640625" defaultRowHeight="14.4" x14ac:dyDescent="0.3"/>
  <cols>
    <col min="1" max="1" width="16" customWidth="1"/>
    <col min="2" max="3" width="9" customWidth="1"/>
    <col min="4" max="4" width="11" customWidth="1"/>
    <col min="5" max="5" width="13.77734375" customWidth="1"/>
    <col min="6" max="6" width="14.88671875" customWidth="1"/>
    <col min="7" max="7" width="20" customWidth="1"/>
    <col min="8" max="8" width="23.109375" customWidth="1"/>
    <col min="9" max="9" width="15.5546875" customWidth="1"/>
    <col min="10" max="17" width="12" customWidth="1"/>
  </cols>
  <sheetData>
    <row r="1" spans="1:17" ht="21.7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9.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/>
      <c r="G2" s="2"/>
      <c r="H2" s="2"/>
      <c r="I2" s="2" t="s">
        <v>6</v>
      </c>
      <c r="J2" s="2"/>
      <c r="K2" s="2"/>
      <c r="L2" s="2" t="s">
        <v>7</v>
      </c>
      <c r="M2" s="2"/>
      <c r="N2" s="2"/>
      <c r="O2" s="2" t="s">
        <v>8</v>
      </c>
      <c r="P2" s="2"/>
      <c r="Q2" s="2"/>
    </row>
    <row r="3" spans="1:17" ht="18" customHeight="1" x14ac:dyDescent="0.3">
      <c r="A3" s="2"/>
      <c r="B3" s="2"/>
      <c r="C3" s="2"/>
      <c r="D3" s="2"/>
      <c r="E3" s="3" t="s">
        <v>9</v>
      </c>
      <c r="F3" s="3" t="s">
        <v>10</v>
      </c>
      <c r="G3" s="3" t="s">
        <v>11</v>
      </c>
      <c r="H3" s="3" t="s">
        <v>27</v>
      </c>
      <c r="I3" s="3" t="s">
        <v>9</v>
      </c>
      <c r="J3" s="3" t="s">
        <v>10</v>
      </c>
      <c r="K3" s="3" t="s">
        <v>11</v>
      </c>
      <c r="L3" s="3" t="s">
        <v>9</v>
      </c>
      <c r="M3" s="3" t="s">
        <v>10</v>
      </c>
      <c r="N3" s="3" t="s">
        <v>11</v>
      </c>
      <c r="O3" s="3" t="s">
        <v>9</v>
      </c>
      <c r="P3" s="3" t="s">
        <v>10</v>
      </c>
      <c r="Q3" s="3" t="s">
        <v>11</v>
      </c>
    </row>
    <row r="4" spans="1:17" x14ac:dyDescent="0.3">
      <c r="A4" s="4" t="s">
        <v>12</v>
      </c>
      <c r="B4" s="5">
        <v>10</v>
      </c>
      <c r="C4" s="5">
        <v>10</v>
      </c>
      <c r="D4" s="5">
        <v>8</v>
      </c>
      <c r="E4" s="5">
        <v>118</v>
      </c>
      <c r="F4" s="5">
        <v>26</v>
      </c>
      <c r="G4" s="6">
        <f t="shared" ref="G4:G18" si="0">IF(OR(E4="",F4=""),"",E4+F4)</f>
        <v>144</v>
      </c>
      <c r="H4" s="5">
        <v>41</v>
      </c>
      <c r="I4" s="5">
        <v>62</v>
      </c>
      <c r="J4" s="5">
        <v>8</v>
      </c>
      <c r="K4" s="6">
        <f t="shared" ref="K4:K18" si="1">IF(OR(I4="",J4=""),"",I4+J4)</f>
        <v>70</v>
      </c>
      <c r="L4" s="5">
        <v>72</v>
      </c>
      <c r="M4" s="5">
        <v>24</v>
      </c>
      <c r="N4" s="6">
        <f t="shared" ref="N4:N18" si="2">IF(OR(L4="",M4=""),"",L4+M4)</f>
        <v>96</v>
      </c>
      <c r="O4" s="5">
        <v>54</v>
      </c>
      <c r="P4" s="5">
        <v>63</v>
      </c>
      <c r="Q4" s="6">
        <f t="shared" ref="Q4:Q18" si="3">IF(OR(O4="",P4=""),"",O4+P4)</f>
        <v>117</v>
      </c>
    </row>
    <row r="5" spans="1:17" x14ac:dyDescent="0.3">
      <c r="A5" s="4" t="s">
        <v>13</v>
      </c>
      <c r="B5" s="5">
        <v>20</v>
      </c>
      <c r="C5" s="5">
        <v>20</v>
      </c>
      <c r="D5" s="5">
        <v>16</v>
      </c>
      <c r="E5" s="5">
        <v>396</v>
      </c>
      <c r="F5" s="5">
        <v>108</v>
      </c>
      <c r="G5" s="6">
        <f t="shared" si="0"/>
        <v>504</v>
      </c>
      <c r="H5" s="5">
        <v>93</v>
      </c>
      <c r="I5" s="5">
        <v>112</v>
      </c>
      <c r="J5" s="5">
        <v>16</v>
      </c>
      <c r="K5" s="6">
        <f t="shared" si="1"/>
        <v>128</v>
      </c>
      <c r="L5" s="5">
        <v>158</v>
      </c>
      <c r="M5" s="5">
        <v>48</v>
      </c>
      <c r="N5" s="6">
        <f t="shared" si="2"/>
        <v>206</v>
      </c>
      <c r="O5" s="5">
        <v>116</v>
      </c>
      <c r="P5" s="5">
        <v>138</v>
      </c>
      <c r="Q5" s="6">
        <f t="shared" si="3"/>
        <v>254</v>
      </c>
    </row>
    <row r="6" spans="1:17" x14ac:dyDescent="0.3">
      <c r="A6" s="4" t="s">
        <v>14</v>
      </c>
      <c r="B6" s="5">
        <v>50</v>
      </c>
      <c r="C6" s="5">
        <v>50</v>
      </c>
      <c r="D6" s="5">
        <v>41</v>
      </c>
      <c r="E6" s="5">
        <v>2241</v>
      </c>
      <c r="F6" s="5">
        <v>466</v>
      </c>
      <c r="G6" s="6">
        <f t="shared" si="0"/>
        <v>2707</v>
      </c>
      <c r="H6" s="5">
        <v>384</v>
      </c>
      <c r="I6" s="5">
        <v>338</v>
      </c>
      <c r="J6" s="5">
        <v>41</v>
      </c>
      <c r="K6" s="6">
        <f t="shared" si="1"/>
        <v>379</v>
      </c>
      <c r="L6" s="5">
        <v>396</v>
      </c>
      <c r="M6" s="5">
        <v>123</v>
      </c>
      <c r="N6" s="6">
        <f t="shared" si="2"/>
        <v>519</v>
      </c>
      <c r="O6" s="5">
        <v>288</v>
      </c>
      <c r="P6" s="5">
        <v>342</v>
      </c>
      <c r="Q6" s="6">
        <f t="shared" si="3"/>
        <v>630</v>
      </c>
    </row>
    <row r="7" spans="1:17" x14ac:dyDescent="0.3">
      <c r="A7" s="4" t="s">
        <v>15</v>
      </c>
      <c r="B7" s="5">
        <v>100</v>
      </c>
      <c r="C7" s="5">
        <v>100</v>
      </c>
      <c r="D7" s="5">
        <v>84</v>
      </c>
      <c r="E7" s="5">
        <v>8986</v>
      </c>
      <c r="F7" s="5">
        <v>1326</v>
      </c>
      <c r="G7" s="6">
        <f t="shared" si="0"/>
        <v>10312</v>
      </c>
      <c r="H7" s="5">
        <v>1017</v>
      </c>
      <c r="I7" s="5">
        <v>1098</v>
      </c>
      <c r="J7" s="5">
        <v>84</v>
      </c>
      <c r="K7" s="6">
        <f t="shared" si="1"/>
        <v>1182</v>
      </c>
      <c r="L7" s="5">
        <v>828</v>
      </c>
      <c r="M7" s="5">
        <v>252</v>
      </c>
      <c r="N7" s="6">
        <f t="shared" si="2"/>
        <v>1080</v>
      </c>
      <c r="O7" s="5">
        <v>594</v>
      </c>
      <c r="P7" s="5">
        <v>705</v>
      </c>
      <c r="Q7" s="6">
        <f t="shared" si="3"/>
        <v>1299</v>
      </c>
    </row>
    <row r="8" spans="1:17" x14ac:dyDescent="0.3">
      <c r="A8" s="4" t="s">
        <v>16</v>
      </c>
      <c r="B8" s="5">
        <v>200</v>
      </c>
      <c r="C8" s="5">
        <v>200</v>
      </c>
      <c r="D8" s="5">
        <v>172</v>
      </c>
      <c r="E8" s="5">
        <v>34770</v>
      </c>
      <c r="F8" s="5">
        <v>5012</v>
      </c>
      <c r="G8" s="6">
        <f t="shared" si="0"/>
        <v>39782</v>
      </c>
      <c r="H8" s="5">
        <v>4281</v>
      </c>
      <c r="I8" s="5">
        <v>2534</v>
      </c>
      <c r="J8" s="5">
        <v>172</v>
      </c>
      <c r="K8" s="6">
        <f t="shared" si="1"/>
        <v>2706</v>
      </c>
      <c r="L8" s="5">
        <v>1706</v>
      </c>
      <c r="M8" s="5">
        <v>516</v>
      </c>
      <c r="N8" s="6">
        <f t="shared" si="2"/>
        <v>2222</v>
      </c>
      <c r="O8" s="5">
        <v>1218</v>
      </c>
      <c r="P8" s="5">
        <v>1494</v>
      </c>
      <c r="Q8" s="6">
        <f t="shared" si="3"/>
        <v>2712</v>
      </c>
    </row>
    <row r="9" spans="1:17" x14ac:dyDescent="0.3">
      <c r="A9" s="4" t="s">
        <v>17</v>
      </c>
      <c r="B9" s="5">
        <v>500</v>
      </c>
      <c r="C9" s="5">
        <v>500</v>
      </c>
      <c r="D9" s="5">
        <v>418</v>
      </c>
      <c r="E9" s="5">
        <v>210417</v>
      </c>
      <c r="F9" s="5">
        <v>25266</v>
      </c>
      <c r="G9" s="6">
        <f t="shared" si="0"/>
        <v>235683</v>
      </c>
      <c r="H9" s="5">
        <v>24527</v>
      </c>
      <c r="I9" s="5">
        <v>16276</v>
      </c>
      <c r="J9" s="5">
        <v>418</v>
      </c>
      <c r="K9" s="6">
        <f t="shared" si="1"/>
        <v>16694</v>
      </c>
      <c r="L9" s="5">
        <v>4450</v>
      </c>
      <c r="M9" s="5">
        <v>1254</v>
      </c>
      <c r="N9" s="6">
        <f t="shared" si="2"/>
        <v>5704</v>
      </c>
      <c r="O9" s="5">
        <v>3148</v>
      </c>
      <c r="P9" s="5">
        <v>3753</v>
      </c>
      <c r="Q9" s="6">
        <f t="shared" si="3"/>
        <v>6901</v>
      </c>
    </row>
    <row r="10" spans="1:17" x14ac:dyDescent="0.3">
      <c r="A10" s="4" t="s">
        <v>18</v>
      </c>
      <c r="B10" s="5">
        <v>1000</v>
      </c>
      <c r="C10" s="5">
        <v>1000</v>
      </c>
      <c r="D10" s="5">
        <v>841</v>
      </c>
      <c r="E10" s="5">
        <v>838835</v>
      </c>
      <c r="F10" s="5">
        <v>120282</v>
      </c>
      <c r="G10" s="6">
        <f t="shared" si="0"/>
        <v>959117</v>
      </c>
      <c r="H10" s="5">
        <v>88624</v>
      </c>
      <c r="I10" s="5">
        <v>61332</v>
      </c>
      <c r="J10" s="5">
        <v>841</v>
      </c>
      <c r="K10" s="6">
        <f t="shared" si="1"/>
        <v>62173</v>
      </c>
      <c r="L10" s="5">
        <v>8998</v>
      </c>
      <c r="M10" s="5">
        <v>2523</v>
      </c>
      <c r="N10" s="6">
        <f t="shared" si="2"/>
        <v>11521</v>
      </c>
      <c r="O10" s="5">
        <v>6312</v>
      </c>
      <c r="P10" s="5">
        <v>7539</v>
      </c>
      <c r="Q10" s="6">
        <f t="shared" si="3"/>
        <v>13851</v>
      </c>
    </row>
    <row r="11" spans="1:17" x14ac:dyDescent="0.3">
      <c r="A11" s="4" t="s">
        <v>19</v>
      </c>
      <c r="B11" s="5">
        <v>2000</v>
      </c>
      <c r="C11" s="5">
        <v>2000</v>
      </c>
      <c r="D11" s="5">
        <v>1683</v>
      </c>
      <c r="E11" s="5">
        <v>3375684</v>
      </c>
      <c r="F11" s="5">
        <v>506980</v>
      </c>
      <c r="G11" s="6">
        <f t="shared" si="0"/>
        <v>3882664</v>
      </c>
      <c r="H11" s="5">
        <v>346217</v>
      </c>
      <c r="I11" s="5">
        <v>178594</v>
      </c>
      <c r="J11" s="5">
        <v>1683</v>
      </c>
      <c r="K11" s="6">
        <f t="shared" si="1"/>
        <v>180277</v>
      </c>
      <c r="L11" s="5">
        <v>17922</v>
      </c>
      <c r="M11" s="5">
        <v>5049</v>
      </c>
      <c r="N11" s="6">
        <f t="shared" si="2"/>
        <v>22971</v>
      </c>
      <c r="O11" s="5">
        <v>12738</v>
      </c>
      <c r="P11" s="5">
        <v>14979</v>
      </c>
      <c r="Q11" s="6">
        <f t="shared" si="3"/>
        <v>27717</v>
      </c>
    </row>
    <row r="12" spans="1:17" x14ac:dyDescent="0.3">
      <c r="A12" s="4" t="s">
        <v>20</v>
      </c>
      <c r="B12" s="5">
        <v>5000</v>
      </c>
      <c r="C12" s="5">
        <v>5000</v>
      </c>
      <c r="D12" s="5">
        <v>4248</v>
      </c>
      <c r="E12" s="5">
        <v>21034203</v>
      </c>
      <c r="F12" s="5">
        <v>2612892</v>
      </c>
      <c r="G12" s="6">
        <f t="shared" si="0"/>
        <v>23647095</v>
      </c>
      <c r="H12" s="5">
        <v>2175377</v>
      </c>
      <c r="I12" s="5">
        <v>1158474</v>
      </c>
      <c r="J12" s="5">
        <v>4248</v>
      </c>
      <c r="K12" s="6">
        <f t="shared" si="1"/>
        <v>1162722</v>
      </c>
      <c r="L12" s="5">
        <v>45548</v>
      </c>
      <c r="M12" s="5">
        <v>12744</v>
      </c>
      <c r="N12" s="6">
        <f t="shared" si="2"/>
        <v>58292</v>
      </c>
      <c r="O12" s="5">
        <v>31662</v>
      </c>
      <c r="P12" s="5">
        <v>37869</v>
      </c>
      <c r="Q12" s="6">
        <f t="shared" si="3"/>
        <v>69531</v>
      </c>
    </row>
    <row r="13" spans="1:17" x14ac:dyDescent="0.3">
      <c r="A13" s="4" t="s">
        <v>21</v>
      </c>
      <c r="B13" s="5">
        <v>10000</v>
      </c>
      <c r="C13" s="5">
        <v>10000</v>
      </c>
      <c r="D13" s="5">
        <v>8387</v>
      </c>
      <c r="E13" s="5">
        <v>83648361</v>
      </c>
      <c r="F13" s="5">
        <v>11416418</v>
      </c>
      <c r="G13" s="6">
        <f t="shared" si="0"/>
        <v>95064779</v>
      </c>
      <c r="H13" s="5">
        <v>8662052</v>
      </c>
      <c r="I13" s="5">
        <v>4578560</v>
      </c>
      <c r="J13" s="5">
        <v>8387</v>
      </c>
      <c r="K13" s="6">
        <f t="shared" si="1"/>
        <v>4586947</v>
      </c>
      <c r="L13" s="5">
        <v>91070</v>
      </c>
      <c r="M13" s="5">
        <v>25161</v>
      </c>
      <c r="N13" s="6">
        <f t="shared" si="2"/>
        <v>116231</v>
      </c>
      <c r="O13" s="5">
        <v>63358</v>
      </c>
      <c r="P13" s="5">
        <v>74643</v>
      </c>
      <c r="Q13" s="6">
        <f t="shared" si="3"/>
        <v>138001</v>
      </c>
    </row>
    <row r="14" spans="1:17" x14ac:dyDescent="0.3">
      <c r="A14" s="4" t="s">
        <v>22</v>
      </c>
      <c r="B14" s="5">
        <v>20000</v>
      </c>
      <c r="C14" s="5">
        <v>20000</v>
      </c>
      <c r="D14" s="5">
        <v>16769</v>
      </c>
      <c r="E14" s="5">
        <v>335956794</v>
      </c>
      <c r="F14" s="5">
        <v>43457328</v>
      </c>
      <c r="G14" s="6">
        <f t="shared" si="0"/>
        <v>379414122</v>
      </c>
      <c r="H14" s="5">
        <v>33861616</v>
      </c>
      <c r="I14" s="5">
        <v>18052994</v>
      </c>
      <c r="J14" s="5">
        <v>16769</v>
      </c>
      <c r="K14" s="6">
        <f t="shared" si="1"/>
        <v>18069763</v>
      </c>
      <c r="L14" s="5">
        <v>183688</v>
      </c>
      <c r="M14" s="5">
        <v>50307</v>
      </c>
      <c r="N14" s="6">
        <f t="shared" si="2"/>
        <v>233995</v>
      </c>
      <c r="O14" s="5">
        <v>127438</v>
      </c>
      <c r="P14" s="5">
        <v>149706</v>
      </c>
      <c r="Q14" s="6">
        <f t="shared" si="3"/>
        <v>277144</v>
      </c>
    </row>
    <row r="15" spans="1:17" x14ac:dyDescent="0.3">
      <c r="A15" s="4" t="s">
        <v>23</v>
      </c>
      <c r="B15" s="5">
        <v>50000</v>
      </c>
      <c r="C15" s="5">
        <v>50000</v>
      </c>
      <c r="D15" s="5">
        <v>41795</v>
      </c>
      <c r="E15" s="5">
        <v>2090791812</v>
      </c>
      <c r="F15" s="5">
        <v>269924842</v>
      </c>
      <c r="G15" s="6">
        <f t="shared" si="0"/>
        <v>2360716654</v>
      </c>
      <c r="H15" s="5">
        <v>217589521</v>
      </c>
      <c r="I15" s="5">
        <v>113511958</v>
      </c>
      <c r="J15" s="5">
        <v>41795</v>
      </c>
      <c r="K15" s="6">
        <f t="shared" si="1"/>
        <v>113553753</v>
      </c>
      <c r="L15" s="5">
        <v>463048</v>
      </c>
      <c r="M15" s="5">
        <v>125385</v>
      </c>
      <c r="N15" s="6">
        <f t="shared" si="2"/>
        <v>588433</v>
      </c>
      <c r="O15" s="5">
        <v>318986</v>
      </c>
      <c r="P15" s="5">
        <v>373629</v>
      </c>
      <c r="Q15" s="6">
        <f t="shared" si="3"/>
        <v>692615</v>
      </c>
    </row>
    <row r="16" spans="1:17" x14ac:dyDescent="0.3">
      <c r="A16" s="4" t="s">
        <v>24</v>
      </c>
      <c r="B16" s="5">
        <v>100000</v>
      </c>
      <c r="C16" s="5">
        <v>100000</v>
      </c>
      <c r="D16" s="5">
        <v>83793</v>
      </c>
      <c r="E16" s="5">
        <v>8374783744</v>
      </c>
      <c r="F16" s="5">
        <v>1132125820</v>
      </c>
      <c r="G16" s="6">
        <f t="shared" si="0"/>
        <v>9506909564</v>
      </c>
      <c r="H16" s="5">
        <v>868405924</v>
      </c>
      <c r="I16" s="5">
        <v>450905308</v>
      </c>
      <c r="J16" s="5">
        <v>83793</v>
      </c>
      <c r="K16" s="6">
        <f t="shared" si="1"/>
        <v>450989101</v>
      </c>
      <c r="L16" s="5">
        <v>926386</v>
      </c>
      <c r="M16" s="5">
        <v>251379</v>
      </c>
      <c r="N16" s="6">
        <f t="shared" si="2"/>
        <v>1177765</v>
      </c>
      <c r="O16" s="5">
        <v>637832</v>
      </c>
      <c r="P16" s="5">
        <v>749466</v>
      </c>
      <c r="Q16" s="6">
        <f t="shared" si="3"/>
        <v>1387298</v>
      </c>
    </row>
    <row r="17" spans="1:17" x14ac:dyDescent="0.3">
      <c r="A17" s="4" t="s">
        <v>25</v>
      </c>
      <c r="B17" s="5">
        <v>200000</v>
      </c>
      <c r="C17" s="5">
        <v>200000</v>
      </c>
      <c r="D17" s="5">
        <v>167766</v>
      </c>
      <c r="E17" s="5">
        <v>33552767760</v>
      </c>
      <c r="F17" s="5">
        <v>4429874688</v>
      </c>
      <c r="G17" s="6">
        <f t="shared" si="0"/>
        <v>37982642448</v>
      </c>
      <c r="H17" s="5">
        <v>3447414028</v>
      </c>
      <c r="I17" s="5">
        <v>1768448454</v>
      </c>
      <c r="J17" s="5">
        <v>167766</v>
      </c>
      <c r="K17" s="6">
        <f t="shared" si="1"/>
        <v>1768616220</v>
      </c>
      <c r="L17" s="5">
        <v>1870990</v>
      </c>
      <c r="M17" s="5">
        <v>503298</v>
      </c>
      <c r="N17" s="6">
        <f t="shared" si="2"/>
        <v>2374288</v>
      </c>
      <c r="O17" s="5">
        <v>1278646</v>
      </c>
      <c r="P17" s="5">
        <v>1503687</v>
      </c>
      <c r="Q17" s="6">
        <f t="shared" si="3"/>
        <v>2782333</v>
      </c>
    </row>
    <row r="18" spans="1:17" x14ac:dyDescent="0.3">
      <c r="A18" s="4" t="s">
        <v>26</v>
      </c>
      <c r="B18" s="5">
        <v>500000</v>
      </c>
      <c r="C18" s="5">
        <v>500000</v>
      </c>
      <c r="D18" s="5">
        <v>419036</v>
      </c>
      <c r="E18" s="5">
        <v>209503419003</v>
      </c>
      <c r="F18" s="5">
        <v>27540800808</v>
      </c>
      <c r="G18" s="6">
        <f t="shared" si="0"/>
        <v>237044219811</v>
      </c>
      <c r="H18" s="5">
        <v>21607169741</v>
      </c>
      <c r="I18" s="5">
        <v>11138794130</v>
      </c>
      <c r="J18" s="5">
        <v>419036</v>
      </c>
      <c r="K18" s="6">
        <f t="shared" si="1"/>
        <v>11139213166</v>
      </c>
      <c r="L18" s="5">
        <v>4665344</v>
      </c>
      <c r="M18" s="5">
        <v>1257108</v>
      </c>
      <c r="N18" s="6">
        <f t="shared" si="2"/>
        <v>5922452</v>
      </c>
      <c r="O18" s="5">
        <v>3192352</v>
      </c>
      <c r="P18" s="5">
        <v>3751089</v>
      </c>
      <c r="Q18" s="6">
        <f t="shared" si="3"/>
        <v>6943441</v>
      </c>
    </row>
    <row r="20" spans="1:17" x14ac:dyDescent="0.3">
      <c r="A20" s="9"/>
    </row>
    <row r="21" spans="1:17" ht="15" customHeight="1" x14ac:dyDescent="0.3">
      <c r="A21" s="10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ht="15" customHeight="1" x14ac:dyDescent="0.3">
      <c r="A22" s="10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 ht="15" customHeight="1" x14ac:dyDescent="0.3">
      <c r="A23" s="10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 ht="15" customHeight="1" x14ac:dyDescent="0.3">
      <c r="A24" s="10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1:17" ht="15" customHeight="1" x14ac:dyDescent="0.3">
      <c r="A25" s="10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ht="15" customHeight="1" x14ac:dyDescent="0.3">
      <c r="A26" s="10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 ht="15" customHeight="1" x14ac:dyDescent="0.3">
      <c r="A27" s="10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17" x14ac:dyDescent="0.3">
      <c r="A28" s="11"/>
    </row>
    <row r="29" spans="1:17" ht="15.6" customHeight="1" x14ac:dyDescent="0.3">
      <c r="A29" s="1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1:17" x14ac:dyDescent="0.3">
      <c r="A30" s="13"/>
    </row>
  </sheetData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Diogo Pinto</cp:lastModifiedBy>
  <cp:revision>1</cp:revision>
  <dcterms:created xsi:type="dcterms:W3CDTF">2026-09-23T19:09:00Z</dcterms:created>
  <dcterms:modified xsi:type="dcterms:W3CDTF">2026-09-25T08:43:13Z</dcterms:modified>
  <dc:language>en-US</dc:language>
</cp:coreProperties>
</file>